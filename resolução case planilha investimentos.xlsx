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472" documentId="11_92485C45C1F39E42E268565A893E8C18510380CC" xr6:coauthVersionLast="47" xr6:coauthVersionMax="47" xr10:uidLastSave="{9AB8B20E-C457-4110-9632-75F078F5C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externalReferences>
    <externalReference r:id="rId3"/>
  </externalReferences>
  <definedNames>
    <definedName name="aporte">Planilha1!$D$17:$D$17</definedName>
    <definedName name="patrimonio">Planilha1!$D$20:$D$20</definedName>
    <definedName name="qtd_anos">Planilha1!$D$18:$D$18</definedName>
    <definedName name="rendimento_carteira">Planilha1!$D$13:$D$13</definedName>
    <definedName name="salario">Planilha1!$D$12:$D$12</definedName>
    <definedName name="sugestao_investimento">Planilha1!$B$14:$B$14</definedName>
    <definedName name="taxa_mensal">Planilha1!$D$19:$D$19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 a="1"/>
  <c r="C33" i="1"/>
  <c r="D20" i="1" a="1"/>
  <c r="D20" i="1"/>
  <c r="D21" i="1" s="1" a="1"/>
  <c r="D21" i="1" s="1"/>
  <c r="D14" i="1"/>
  <c r="C25" i="1"/>
  <c r="D25" i="1" s="1" a="1"/>
  <c r="D25" i="1" s="1"/>
  <c r="C26" i="1"/>
  <c r="D26" i="1" s="1" a="1"/>
  <c r="D26" i="1" s="1"/>
  <c r="C27" i="1"/>
  <c r="D27" i="1" s="1" a="1"/>
  <c r="D27" i="1" s="1"/>
  <c r="C28" i="1"/>
  <c r="D28" i="1" s="1" a="1"/>
  <c r="D28" i="1" s="1"/>
  <c r="C24" i="1"/>
  <c r="D24" i="1" s="1" a="1"/>
  <c r="D24" i="1" s="1"/>
  <c r="D37" i="1" l="1"/>
  <c r="D38" i="1"/>
  <c r="D39" i="1"/>
  <c r="D40" i="1"/>
  <c r="D41" i="1"/>
  <c r="D36" i="1"/>
  <c r="D4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<sst xmlns="http://schemas.openxmlformats.org/spreadsheetml/2006/main" count="69" uniqueCount="33">
  <si>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</si>
  <si>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</si>
  <si>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</si>
  <si>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</si>
  <si>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</si>
  <si>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</si>
  <si>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</si>
  <si>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</si>
  <si>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</si>
  <si>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</si>
  <si>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</si>
  <si>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</si>
  <si>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</si>
  <si>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</si>
  <si>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</si>
  <si>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</si>
  <si>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</si>
  <si>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</si>
  <si>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</si>
  <si>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A SER INVESTIDO POR MES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</si>
  <si>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</si>
  <si>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</si>
  <si>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</si>
  <si>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</si>
  <si>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</si>
  <si>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</si>
  <si>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</si>
  <si>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</si>
  <si>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</si>
  <si>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CHAVE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</si>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</sst>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0.000%"/>
    <numFmt numFmtId="167" formatCode="&quot;R$&quot;\ #,##0.00"/>
    <numFmt numFmtId="168" formatCode="&quot;R$&quot;\ #,##0.000;[Red]\-&quot;R$&quot;\ 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9C570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000000"/>
      </right>
      <top/>
      <bottom style="thin">
        <color theme="0" tint="-4.9989318521683403E-2"/>
      </bottom>
      <diagonal/>
    </border>
    <border>
      <left style="medium">
        <color rgb="FF000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rgb="FF0000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000000"/>
      </left>
      <right style="thin">
        <color theme="0" tint="-4.9989318521683403E-2"/>
      </right>
      <top style="thin">
        <color theme="0" tint="-4.9989318521683403E-2"/>
      </top>
      <bottom style="medium">
        <color rgb="FF000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rgb="FF000000"/>
      </bottom>
      <diagonal/>
    </border>
    <border>
      <left style="thin">
        <color theme="0" tint="-4.9989318521683403E-2"/>
      </left>
      <right style="medium">
        <color rgb="FF000000"/>
      </right>
      <top style="thin">
        <color theme="0" tint="-4.9989318521683403E-2"/>
      </top>
      <bottom style="medium">
        <color rgb="FF000000"/>
      </bottom>
      <diagonal/>
    </border>
    <border>
      <left style="thin">
        <color theme="0" tint="-4.9989318521683403E-2"/>
      </left>
      <right style="medium">
        <color rgb="FF000000"/>
      </right>
      <top style="thin">
        <color theme="0" tint="-0.149998474074526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9847407452621"/>
      </top>
      <bottom style="thin">
        <color theme="0" tint="-4.9989318521683403E-2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4" fillId="0" borderId="0" xfId="0" applyFont="1"/>
    <xf numFmtId="0" fontId="6" fillId="3" borderId="2" xfId="0" applyFont="1" applyFill="1" applyBorder="1" applyAlignment="1">
      <alignment vertical="center"/>
    </xf>
    <xf numFmtId="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167" fontId="3" fillId="0" borderId="14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8" fontId="3" fillId="5" borderId="10" xfId="0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168" fontId="3" fillId="5" borderId="13" xfId="0" applyNumberFormat="1" applyFont="1" applyFill="1" applyBorder="1" applyAlignment="1">
      <alignment horizontal="center"/>
    </xf>
    <xf numFmtId="0" fontId="7" fillId="5" borderId="5" xfId="0" applyFont="1" applyFill="1" applyBorder="1"/>
    <xf numFmtId="8" fontId="0" fillId="5" borderId="15" xfId="0" applyNumberFormat="1" applyFont="1" applyFill="1" applyBorder="1" applyAlignment="1">
      <alignment horizontal="center"/>
    </xf>
    <xf numFmtId="8" fontId="0" fillId="5" borderId="7" xfId="0" applyNumberFormat="1" applyFont="1" applyFill="1" applyBorder="1" applyAlignment="1">
      <alignment horizontal="center"/>
    </xf>
    <xf numFmtId="0" fontId="7" fillId="5" borderId="8" xfId="0" applyFont="1" applyFill="1" applyBorder="1"/>
    <xf numFmtId="8" fontId="0" fillId="5" borderId="9" xfId="0" applyNumberFormat="1" applyFont="1" applyFill="1" applyBorder="1" applyAlignment="1">
      <alignment horizontal="center"/>
    </xf>
    <xf numFmtId="8" fontId="0" fillId="5" borderId="10" xfId="0" applyNumberFormat="1" applyFont="1" applyFill="1" applyBorder="1" applyAlignment="1">
      <alignment horizontal="center"/>
    </xf>
    <xf numFmtId="0" fontId="7" fillId="5" borderId="11" xfId="0" applyFont="1" applyFill="1" applyBorder="1"/>
    <xf numFmtId="8" fontId="0" fillId="5" borderId="12" xfId="0" applyNumberFormat="1" applyFont="1" applyFill="1" applyBorder="1" applyAlignment="1">
      <alignment horizontal="center"/>
    </xf>
    <xf numFmtId="8" fontId="0" fillId="5" borderId="13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7" fontId="0" fillId="5" borderId="13" xfId="0" applyNumberForma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2" fillId="2" borderId="0" xfId="1"/>
    <xf numFmtId="0" fontId="3" fillId="5" borderId="0" xfId="0" applyFont="1" applyFill="1"/>
    <xf numFmtId="167" fontId="3" fillId="5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center"/>
    </xf>
    <xf numFmtId="167" fontId="3" fillId="5" borderId="0" xfId="0" applyNumberFormat="1" applyFont="1" applyFill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E-4637-8B6A-CE827FE58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4-43BB-8D26-10C3E6A3F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5-4159-8148-E4E022D30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C-46BD-B68E-1FE3A73F4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8A1-449E-9529-70E9A6F2E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3</xdr:col>
      <xdr:colOff>1371600</xdr:colOff>
      <xdr:row>8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216812-E936-11DD-565E-0B3760A4C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75" t="6202" r="2876" b="6977"/>
        <a:stretch>
          <a:fillRect/>
        </a:stretch>
      </xdr:blipFill>
      <xdr:spPr>
        <a:xfrm>
          <a:off x="0" y="28575"/>
          <a:ext cx="6581775" cy="1581150"/>
        </a:xfrm>
        <a:prstGeom prst="rect">
          <a:avLst/>
        </a:prstGeom>
      </xdr:spPr>
    </xdr:pic>
    <xdr:clientData/>
  </xdr:twoCellAnchor>
  <xdr:twoCellAnchor>
    <xdr:from>
      <xdr:col>16384</xdr:col>
      <xdr:colOff>2990850</xdr:colOff>
      <xdr:row>16</xdr:row>
      <xdr:rowOff>190500</xdr:rowOff>
    </xdr:from>
    <xdr:to>
      <xdr:col>16384</xdr:col>
      <xdr:colOff>7562850</xdr:colOff>
      <xdr:row>30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D91357-7F95-8BF0-5889-0CFEC97EC657}"/>
            </a:ext>
            <a:ext uri="{147F2762-F138-4A5C-976F-8EAC2B608ADB}">
              <a16:predDERef xmlns:a16="http://schemas.microsoft.com/office/drawing/2014/main" pred="{C4216812-E936-11DD-565E-0B3760A4C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16384</xdr:col>
      <xdr:colOff>2990850</xdr:colOff>
      <xdr:row>21</xdr:row>
      <xdr:rowOff>142875</xdr:rowOff>
    </xdr:from>
    <xdr:to>
      <xdr:col>16384</xdr:col>
      <xdr:colOff>7562850</xdr:colOff>
      <xdr:row>35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5EAE00B-DCEA-7CB9-4905-94D39B660F40}"/>
            </a:ext>
            <a:ext uri="{147F2762-F138-4A5C-976F-8EAC2B608ADB}">
              <a16:predDERef xmlns:a16="http://schemas.microsoft.com/office/drawing/2014/main" pred="{E7D91357-7F95-8BF0-5889-0CFEC97EC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16384</xdr:col>
      <xdr:colOff>2990850</xdr:colOff>
      <xdr:row>16</xdr:row>
      <xdr:rowOff>190500</xdr:rowOff>
    </xdr:from>
    <xdr:to>
      <xdr:col>16384</xdr:col>
      <xdr:colOff>7562850</xdr:colOff>
      <xdr:row>30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368570-2BD9-9F9A-0475-13F4D3ADF05D}"/>
            </a:ext>
            <a:ext uri="{147F2762-F138-4A5C-976F-8EAC2B608ADB}">
              <a16:predDERef xmlns:a16="http://schemas.microsoft.com/office/drawing/2014/main" pred="{85EAE00B-DCEA-7CB9-4905-94D39B660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16384</xdr:col>
      <xdr:colOff>2990850</xdr:colOff>
      <xdr:row>16</xdr:row>
      <xdr:rowOff>190500</xdr:rowOff>
    </xdr:from>
    <xdr:to>
      <xdr:col>16384</xdr:col>
      <xdr:colOff>7562850</xdr:colOff>
      <xdr:row>30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0DBB341-488F-3628-F8A8-0802441E0D46}"/>
            </a:ext>
            <a:ext uri="{147F2762-F138-4A5C-976F-8EAC2B608ADB}">
              <a16:predDERef xmlns:a16="http://schemas.microsoft.com/office/drawing/2014/main" pred="{94368570-2BD9-9F9A-0475-13F4D3ADF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</xdr:colOff>
      <xdr:row>45</xdr:row>
      <xdr:rowOff>66675</xdr:rowOff>
    </xdr:from>
    <xdr:to>
      <xdr:col>3</xdr:col>
      <xdr:colOff>51254</xdr:colOff>
      <xdr:row>57</xdr:row>
      <xdr:rowOff>71211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4D7A765-DE4C-4D1B-8C78-4FBA3CA55158}"/>
            </a:ext>
            <a:ext uri="{147F2762-F138-4A5C-976F-8EAC2B608ADB}">
              <a16:predDERef xmlns:a16="http://schemas.microsoft.com/office/drawing/2014/main" pred="{90DBB341-488F-3628-F8A8-0802441E0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"/>
      <sheetName val="Planilha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L42"/>
  <sheetViews>
    <sheetView showGridLines="0" tabSelected="1" workbookViewId="0">
      <selection activeCell="D14" sqref="D14"/>
    </sheetView>
  </sheetViews>
  <sheetFormatPr defaultColWidth="0" defaultRowHeight="15"/>
  <cols>
    <col min="1" max="1" width="2.5703125" customWidth="1"/>
    <col min="2" max="2" width="44.28515625" customWidth="1"/>
    <col min="3" max="3" width="31.28515625" bestFit="1" customWidth="1"/>
    <col min="4" max="4" width="21.140625" customWidth="1"/>
    <col min="5" max="5" width="11.42578125" hidden="1" customWidth="1"/>
    <col min="6" max="9" width="9.140625" hidden="1" customWidth="1"/>
    <col min="10" max="10" width="10.42578125" hidden="1" customWidth="1"/>
    <col min="11" max="12" width="10.28515625" hidden="1"/>
  </cols>
  <sheetData>
    <row r="11" spans="2:4" ht="18.75">
      <c r="B11" s="36" t="s">
        <v>0</v>
      </c>
      <c r="C11" s="37"/>
      <c r="D11" s="38"/>
    </row>
    <row r="12" spans="2:4">
      <c r="B12" s="7" t="s">
        <v>1</v>
      </c>
      <c r="C12" s="8"/>
      <c r="D12" s="9">
        <v>2000</v>
      </c>
    </row>
    <row r="13" spans="2:4">
      <c r="B13" s="10" t="s">
        <v>2</v>
      </c>
      <c r="C13" s="11"/>
      <c r="D13" s="12">
        <v>6.0000000000000001E-3</v>
      </c>
    </row>
    <row r="14" spans="2:4">
      <c r="B14" s="13" t="s">
        <v>3</v>
      </c>
      <c r="C14" s="14"/>
      <c r="D14" s="39">
        <f>D12*30%</f>
        <v>600</v>
      </c>
    </row>
    <row r="16" spans="2:4" ht="26.25">
      <c r="B16" s="33" t="s">
        <v>4</v>
      </c>
      <c r="C16" s="34"/>
      <c r="D16" s="35"/>
    </row>
    <row r="17" spans="1:4" ht="15.75">
      <c r="B17" s="40" t="s">
        <v>5</v>
      </c>
      <c r="C17" s="41"/>
      <c r="D17" s="15">
        <v>200</v>
      </c>
    </row>
    <row r="18" spans="1:4" ht="15.75">
      <c r="B18" s="42" t="s">
        <v>6</v>
      </c>
      <c r="C18" s="43"/>
      <c r="D18" s="16">
        <v>5</v>
      </c>
    </row>
    <row r="19" spans="1:4" ht="15.75">
      <c r="B19" s="42" t="s">
        <v>7</v>
      </c>
      <c r="C19" s="43"/>
      <c r="D19" s="17">
        <v>1.0789999999999999E-2</v>
      </c>
    </row>
    <row r="20" spans="1:4" ht="15.75">
      <c r="B20" s="18" t="s">
        <v>8</v>
      </c>
      <c r="C20" s="19"/>
      <c r="D20" s="20" cm="1">
        <f t="array" ref="D20">FV(taxa_mensal,qtd_anos*12,aporte*-1)</f>
        <v>16755.382799697527</v>
      </c>
    </row>
    <row r="21" spans="1:4" ht="15.75">
      <c r="B21" s="21" t="s">
        <v>9</v>
      </c>
      <c r="C21" s="22"/>
      <c r="D21" s="23" cm="1">
        <f t="array" ref="D21">patrimonio*rendimento_carteira</f>
        <v>100.53229679818516</v>
      </c>
    </row>
    <row r="23" spans="1:4" ht="26.25">
      <c r="B23" s="33" t="s">
        <v>10</v>
      </c>
      <c r="C23" s="34"/>
      <c r="D23" s="4" t="s">
        <v>11</v>
      </c>
    </row>
    <row r="24" spans="1:4" ht="15.75">
      <c r="A24" s="3">
        <v>2</v>
      </c>
      <c r="B24" s="24" t="s">
        <v>12</v>
      </c>
      <c r="C24" s="25">
        <f>FV($D$19,$A24*12,$D$17*-1)</f>
        <v>5445.5254595290435</v>
      </c>
      <c r="D24" s="26" cm="1">
        <f t="array" ref="D24">C24*rendimento_carteira</f>
        <v>32.673152757174265</v>
      </c>
    </row>
    <row r="25" spans="1:4" ht="15.75">
      <c r="A25" s="3">
        <v>5</v>
      </c>
      <c r="B25" s="27" t="s">
        <v>13</v>
      </c>
      <c r="C25" s="28">
        <f>FV($D$19,$A25*12,$D$17*-1)</f>
        <v>16755.382799697527</v>
      </c>
      <c r="D25" s="29" cm="1">
        <f t="array" ref="D25">C25*rendimento_carteira</f>
        <v>100.53229679818516</v>
      </c>
    </row>
    <row r="26" spans="1:4" ht="15.75">
      <c r="A26" s="3">
        <v>10</v>
      </c>
      <c r="B26" s="27" t="s">
        <v>14</v>
      </c>
      <c r="C26" s="28">
        <f>FV($D$19,$A26*12,$D$17*-1)</f>
        <v>48656.842506034438</v>
      </c>
      <c r="D26" s="29" cm="1">
        <f t="array" ref="D26">C26*rendimento_carteira</f>
        <v>291.94105503620665</v>
      </c>
    </row>
    <row r="27" spans="1:4" ht="15.75">
      <c r="A27" s="3">
        <v>20</v>
      </c>
      <c r="B27" s="27" t="s">
        <v>15</v>
      </c>
      <c r="C27" s="28">
        <f>FV($D$19,$A27*12,$D$17*-1)</f>
        <v>225039.68001941612</v>
      </c>
      <c r="D27" s="29" cm="1">
        <f t="array" ref="D27">C27*rendimento_carteira</f>
        <v>1350.2380801164968</v>
      </c>
    </row>
    <row r="28" spans="1:4" ht="15.75">
      <c r="A28" s="3">
        <v>30</v>
      </c>
      <c r="B28" s="30" t="s">
        <v>16</v>
      </c>
      <c r="C28" s="31">
        <f>FV($D$19,$A28*12,$D$17*-1)</f>
        <v>864433.93100094295</v>
      </c>
      <c r="D28" s="32" cm="1">
        <f t="array" ref="D28">C28*rendimento_carteira</f>
        <v>5186.6035860056581</v>
      </c>
    </row>
    <row r="32" spans="1:4">
      <c r="B32" s="44" t="s">
        <v>17</v>
      </c>
      <c r="C32" s="44" t="s">
        <v>18</v>
      </c>
      <c r="D32" s="44"/>
    </row>
    <row r="33" spans="2:4">
      <c r="B33" s="45" t="s">
        <v>19</v>
      </c>
      <c r="C33" s="46" cm="1">
        <f t="array" ref="C33">aporte</f>
        <v>200</v>
      </c>
      <c r="D33" s="45"/>
    </row>
    <row r="35" spans="2:4">
      <c r="B35" s="47" t="s">
        <v>20</v>
      </c>
      <c r="C35" s="47" t="s">
        <v>21</v>
      </c>
      <c r="D35" s="47" t="s">
        <v>22</v>
      </c>
    </row>
    <row r="36" spans="2:4">
      <c r="B36" s="1" t="s">
        <v>23</v>
      </c>
      <c r="C36" s="5">
        <f>VLOOKUP($C$32&amp;"-"&amp;B36,Planilha2!A:D,4,FALSE)</f>
        <v>0.32</v>
      </c>
      <c r="D36" s="6">
        <f>C36*$C$33</f>
        <v>64</v>
      </c>
    </row>
    <row r="37" spans="2:4">
      <c r="B37" s="1" t="s">
        <v>24</v>
      </c>
      <c r="C37" s="5">
        <f>VLOOKUP($C$32&amp;"-"&amp;B37,Planilha2!A:D,4,FALSE)</f>
        <v>0.35</v>
      </c>
      <c r="D37" s="6">
        <f t="shared" ref="D37:D41" si="0">C37*$C$33</f>
        <v>70</v>
      </c>
    </row>
    <row r="38" spans="2:4">
      <c r="B38" s="1" t="s">
        <v>25</v>
      </c>
      <c r="C38" s="5">
        <f>VLOOKUP($C$32&amp;"-"&amp;B38,Planilha2!A:D,4,FALSE)</f>
        <v>0.08</v>
      </c>
      <c r="D38" s="6">
        <f t="shared" si="0"/>
        <v>16</v>
      </c>
    </row>
    <row r="39" spans="2:4">
      <c r="B39" s="1" t="s">
        <v>26</v>
      </c>
      <c r="C39" s="5">
        <f>VLOOKUP($C$32&amp;"-"&amp;B39,Planilha2!A:D,4,FALSE)</f>
        <v>0.05</v>
      </c>
      <c r="D39" s="6">
        <f t="shared" si="0"/>
        <v>10</v>
      </c>
    </row>
    <row r="40" spans="2:4">
      <c r="B40" s="1" t="s">
        <v>27</v>
      </c>
      <c r="C40" s="5">
        <f>VLOOKUP($C$32&amp;"-"&amp;B40,Planilha2!A:D,4,FALSE)</f>
        <v>0.1</v>
      </c>
      <c r="D40" s="6">
        <f t="shared" si="0"/>
        <v>20</v>
      </c>
    </row>
    <row r="41" spans="2:4">
      <c r="B41" s="1" t="s">
        <v>28</v>
      </c>
      <c r="C41" s="5">
        <f>VLOOKUP($C$32&amp;"-"&amp;B41,Planilha2!A:D,4,FALSE)</f>
        <v>0.1</v>
      </c>
      <c r="D41" s="6">
        <f t="shared" si="0"/>
        <v>20</v>
      </c>
    </row>
    <row r="42" spans="2:4">
      <c r="B42" s="45"/>
      <c r="C42" s="45"/>
      <c r="D42" s="48">
        <f>SUM(D36:D41)</f>
        <v>200</v>
      </c>
    </row>
  </sheetData>
  <mergeCells count="11">
    <mergeCell ref="B16:D16"/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 xr:uid="{DCAAA6DF-C109-4280-8F24-BD1E04B19786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2AAE-EC81-444F-B273-5BEF1DF648A3}">
  <dimension ref="A2:D20"/>
  <sheetViews>
    <sheetView workbookViewId="0">
      <selection activeCell="D15" sqref="D15"/>
    </sheetView>
  </sheetViews>
  <sheetFormatPr defaultRowHeight="15"/>
  <cols>
    <col min="1" max="1" width="31.28515625" bestFit="1" customWidth="1"/>
    <col min="2" max="2" width="12.140625" bestFit="1" customWidth="1"/>
    <col min="3" max="3" width="19.28515625" bestFit="1" customWidth="1"/>
  </cols>
  <sheetData>
    <row r="2" spans="1:4">
      <c r="A2" t="s">
        <v>29</v>
      </c>
      <c r="B2" t="s">
        <v>17</v>
      </c>
      <c r="C2" s="1" t="s">
        <v>20</v>
      </c>
      <c r="D2" s="1" t="s">
        <v>30</v>
      </c>
    </row>
    <row r="3" spans="1:4">
      <c r="A3" t="str">
        <f>B3&amp;"-"&amp;C3</f>
        <v>Conservador-PAPEL</v>
      </c>
      <c r="B3" t="s">
        <v>31</v>
      </c>
      <c r="C3" s="1" t="s">
        <v>23</v>
      </c>
      <c r="D3" s="5">
        <v>0.3</v>
      </c>
    </row>
    <row r="4" spans="1:4">
      <c r="A4" t="str">
        <f t="shared" ref="A4:A20" si="0">B4&amp;"-"&amp;C4</f>
        <v>Conservador-TIJOLO</v>
      </c>
      <c r="B4" t="s">
        <v>31</v>
      </c>
      <c r="C4" s="1" t="s">
        <v>24</v>
      </c>
      <c r="D4" s="5">
        <v>0.5</v>
      </c>
    </row>
    <row r="5" spans="1:4">
      <c r="A5" t="str">
        <f t="shared" si="0"/>
        <v>Conservador-HIBRIDOS</v>
      </c>
      <c r="B5" t="s">
        <v>31</v>
      </c>
      <c r="C5" s="1" t="s">
        <v>25</v>
      </c>
      <c r="D5" s="5">
        <v>0.1</v>
      </c>
    </row>
    <row r="6" spans="1:4">
      <c r="A6" t="str">
        <f t="shared" si="0"/>
        <v>Conservador-FOFs</v>
      </c>
      <c r="B6" t="s">
        <v>31</v>
      </c>
      <c r="C6" s="1" t="s">
        <v>26</v>
      </c>
      <c r="D6" s="5">
        <v>0.1</v>
      </c>
    </row>
    <row r="7" spans="1:4">
      <c r="A7" s="2" t="str">
        <f t="shared" si="0"/>
        <v>Conservador-DESENVOLVIMENTO</v>
      </c>
      <c r="B7" t="s">
        <v>31</v>
      </c>
      <c r="C7" s="1" t="s">
        <v>27</v>
      </c>
      <c r="D7" s="5">
        <v>0</v>
      </c>
    </row>
    <row r="8" spans="1:4">
      <c r="A8" s="49" t="str">
        <f t="shared" si="0"/>
        <v>Conservador-HOTELARIAS</v>
      </c>
      <c r="B8" s="49" t="s">
        <v>31</v>
      </c>
      <c r="C8" s="50" t="s">
        <v>28</v>
      </c>
      <c r="D8" s="51">
        <v>0</v>
      </c>
    </row>
    <row r="9" spans="1:4">
      <c r="A9" s="2" t="str">
        <f t="shared" si="0"/>
        <v>Moderado-PAPEL</v>
      </c>
      <c r="B9" s="2" t="s">
        <v>18</v>
      </c>
      <c r="C9" s="1" t="s">
        <v>23</v>
      </c>
      <c r="D9" s="5">
        <v>0.32</v>
      </c>
    </row>
    <row r="10" spans="1:4">
      <c r="A10" s="2" t="str">
        <f t="shared" si="0"/>
        <v>Moderado-TIJOLO</v>
      </c>
      <c r="B10" s="2" t="s">
        <v>18</v>
      </c>
      <c r="C10" s="1" t="s">
        <v>24</v>
      </c>
      <c r="D10" s="5">
        <v>0.35</v>
      </c>
    </row>
    <row r="11" spans="1:4">
      <c r="A11" s="2" t="str">
        <f t="shared" si="0"/>
        <v>Moderado-HIBRIDOS</v>
      </c>
      <c r="B11" s="2" t="s">
        <v>18</v>
      </c>
      <c r="C11" s="1" t="s">
        <v>25</v>
      </c>
      <c r="D11" s="5">
        <v>0.08</v>
      </c>
    </row>
    <row r="12" spans="1:4">
      <c r="A12" s="2" t="str">
        <f t="shared" si="0"/>
        <v>Moderado-FOFs</v>
      </c>
      <c r="B12" s="2" t="s">
        <v>18</v>
      </c>
      <c r="C12" s="1" t="s">
        <v>26</v>
      </c>
      <c r="D12" s="5">
        <v>0.05</v>
      </c>
    </row>
    <row r="13" spans="1:4">
      <c r="A13" s="2" t="str">
        <f t="shared" si="0"/>
        <v>Moderado-DESENVOLVIMENTO</v>
      </c>
      <c r="B13" s="2" t="s">
        <v>18</v>
      </c>
      <c r="C13" s="1" t="s">
        <v>27</v>
      </c>
      <c r="D13" s="5">
        <v>0.1</v>
      </c>
    </row>
    <row r="14" spans="1:4">
      <c r="A14" s="49" t="str">
        <f t="shared" si="0"/>
        <v>Moderado-HOTELARIAS</v>
      </c>
      <c r="B14" s="49" t="s">
        <v>18</v>
      </c>
      <c r="C14" s="50" t="s">
        <v>28</v>
      </c>
      <c r="D14" s="51">
        <v>0.1</v>
      </c>
    </row>
    <row r="15" spans="1:4">
      <c r="A15" s="2" t="str">
        <f t="shared" si="0"/>
        <v>Agressivo-PAPEL</v>
      </c>
      <c r="B15" t="s">
        <v>32</v>
      </c>
      <c r="C15" s="1" t="s">
        <v>23</v>
      </c>
      <c r="D15" s="5">
        <v>0.5</v>
      </c>
    </row>
    <row r="16" spans="1:4">
      <c r="A16" s="2" t="str">
        <f t="shared" si="0"/>
        <v>Agressivo-TIJOLO</v>
      </c>
      <c r="B16" t="s">
        <v>32</v>
      </c>
      <c r="C16" s="1" t="s">
        <v>24</v>
      </c>
      <c r="D16" s="5">
        <v>0.1</v>
      </c>
    </row>
    <row r="17" spans="1:4">
      <c r="A17" s="2" t="str">
        <f t="shared" si="0"/>
        <v>Agressivo-HIBRIDOS</v>
      </c>
      <c r="B17" t="s">
        <v>32</v>
      </c>
      <c r="C17" s="1" t="s">
        <v>25</v>
      </c>
      <c r="D17" s="5">
        <v>0.05</v>
      </c>
    </row>
    <row r="18" spans="1:4">
      <c r="A18" s="2" t="str">
        <f t="shared" si="0"/>
        <v>Agressivo-FOFs</v>
      </c>
      <c r="B18" t="s">
        <v>32</v>
      </c>
      <c r="C18" s="1" t="s">
        <v>26</v>
      </c>
      <c r="D18" s="5">
        <v>0.05</v>
      </c>
    </row>
    <row r="19" spans="1:4">
      <c r="A19" s="2" t="str">
        <f t="shared" si="0"/>
        <v>Agressivo-DESENVOLVIMENTO</v>
      </c>
      <c r="B19" t="s">
        <v>32</v>
      </c>
      <c r="C19" s="1" t="s">
        <v>27</v>
      </c>
      <c r="D19" s="5">
        <v>0.2</v>
      </c>
    </row>
    <row r="20" spans="1:4">
      <c r="A20" s="2" t="str">
        <f t="shared" si="0"/>
        <v>Agressivo-HOTELARIAS</v>
      </c>
      <c r="B20" t="s">
        <v>32</v>
      </c>
      <c r="C20" s="1" t="s">
        <v>28</v>
      </c>
      <c r="D20" s="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Marcelo Henrique</cp:lastModifiedBy>
  <cp:revision/>
  <dcterms:created xsi:type="dcterms:W3CDTF">2026-09-01T16:46:42Z</dcterms:created>
  <dcterms:modified xsi:type="dcterms:W3CDTF">2026-09-01T19:19:15Z</dcterms:modified>
  <cp:category/>
  <cp:contentStatus/>
</cp:coreProperties>
</file>